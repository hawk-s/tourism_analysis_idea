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r\Desktop\"/>
    </mc:Choice>
  </mc:AlternateContent>
  <xr:revisionPtr revIDLastSave="0" documentId="13_ncr:1_{59B437BB-E68A-4E2D-8EA0-A526EE693BA8}" xr6:coauthVersionLast="47" xr6:coauthVersionMax="47" xr10:uidLastSave="{00000000-0000-0000-0000-000000000000}"/>
  <bookViews>
    <workbookView xWindow="-110" yWindow="-110" windowWidth="25820" windowHeight="13900" xr2:uid="{1B0DFA98-40BB-434A-9F54-0CD7CAB7F5A3}"/>
  </bookViews>
  <sheets>
    <sheet name="2nd semina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J10" i="4"/>
  <c r="I10" i="4"/>
  <c r="H10" i="4"/>
  <c r="H11" i="4"/>
  <c r="J11" i="4" s="1"/>
  <c r="K11" i="4" s="1"/>
  <c r="H12" i="4" s="1"/>
  <c r="J12" i="4" s="1"/>
  <c r="K12" i="4" s="1"/>
  <c r="H13" i="4" s="1"/>
  <c r="J13" i="4" s="1"/>
  <c r="K13" i="4" s="1"/>
  <c r="H14" i="4" s="1"/>
  <c r="J14" i="4" s="1"/>
  <c r="K14" i="4" s="1"/>
  <c r="H15" i="4" s="1"/>
  <c r="J15" i="4" s="1"/>
  <c r="K15" i="4" s="1"/>
  <c r="H16" i="4" s="1"/>
  <c r="J16" i="4" s="1"/>
  <c r="K16" i="4" s="1"/>
  <c r="H17" i="4" s="1"/>
  <c r="J17" i="4" s="1"/>
  <c r="K17" i="4" s="1"/>
  <c r="H18" i="4" s="1"/>
  <c r="J18" i="4" s="1"/>
  <c r="K18" i="4" s="1"/>
  <c r="H19" i="4" s="1"/>
  <c r="J19" i="4" s="1"/>
  <c r="K19" i="4" s="1"/>
  <c r="G10" i="4"/>
  <c r="G11" i="4"/>
  <c r="G12" i="4"/>
  <c r="G13" i="4"/>
  <c r="G14" i="4"/>
  <c r="G15" i="4"/>
  <c r="G16" i="4"/>
  <c r="G17" i="4"/>
  <c r="G18" i="4"/>
  <c r="G19" i="4"/>
  <c r="D34" i="4"/>
  <c r="D26" i="4"/>
  <c r="D27" i="4" s="1"/>
  <c r="D9" i="4"/>
  <c r="C8" i="4"/>
  <c r="C16" i="4" s="1"/>
  <c r="D5" i="4"/>
  <c r="G8" i="4" s="1"/>
  <c r="I11" i="4" l="1"/>
  <c r="I12" i="4" s="1"/>
  <c r="I13" i="4"/>
  <c r="I14" i="4" s="1"/>
  <c r="I15" i="4" s="1"/>
  <c r="I16" i="4" s="1"/>
  <c r="I17" i="4" s="1"/>
  <c r="I18" i="4" s="1"/>
  <c r="I19" i="4" s="1"/>
  <c r="C17" i="4"/>
  <c r="C18" i="4"/>
  <c r="D17" i="4"/>
  <c r="D32" i="4"/>
  <c r="G9" i="4"/>
  <c r="D16" i="4"/>
  <c r="C24" i="4" l="1"/>
  <c r="C20" i="4"/>
  <c r="K7" i="4"/>
  <c r="H8" i="4" s="1"/>
  <c r="C25" i="4"/>
  <c r="I7" i="4" s="1"/>
  <c r="J8" i="4"/>
  <c r="C34" i="4"/>
  <c r="C35" i="4" s="1"/>
  <c r="I8" i="4"/>
  <c r="C27" i="4"/>
  <c r="K8" i="4" l="1"/>
  <c r="H9" i="4" s="1"/>
  <c r="J9" i="4" s="1"/>
  <c r="K9" i="4" s="1"/>
  <c r="D33" i="4"/>
  <c r="D35" i="4" s="1"/>
  <c r="I9" i="4" l="1"/>
</calcChain>
</file>

<file path=xl/sharedStrings.xml><?xml version="1.0" encoding="utf-8"?>
<sst xmlns="http://schemas.openxmlformats.org/spreadsheetml/2006/main" count="38" uniqueCount="32">
  <si>
    <t xml:space="preserve">Nominal </t>
  </si>
  <si>
    <t>Coupon</t>
  </si>
  <si>
    <t>at T</t>
  </si>
  <si>
    <t>Coupon payable</t>
  </si>
  <si>
    <t>/year</t>
  </si>
  <si>
    <t>Maturiy</t>
  </si>
  <si>
    <t>Periods</t>
  </si>
  <si>
    <t>Coupon PMT</t>
  </si>
  <si>
    <t>Market rate</t>
  </si>
  <si>
    <t>PV nonimal</t>
  </si>
  <si>
    <t>PV coupon PMT</t>
  </si>
  <si>
    <t>PV sum</t>
  </si>
  <si>
    <t>Account</t>
  </si>
  <si>
    <t>Dt</t>
  </si>
  <si>
    <t>Ct</t>
  </si>
  <si>
    <t>Cash</t>
  </si>
  <si>
    <t>Bonds Payable</t>
  </si>
  <si>
    <t>Discount</t>
  </si>
  <si>
    <t>Interest Exp</t>
  </si>
  <si>
    <t>Discount balance</t>
  </si>
  <si>
    <t>Discount amortised</t>
  </si>
  <si>
    <t>notes/adjustment</t>
  </si>
  <si>
    <t>Carrying Value</t>
  </si>
  <si>
    <t>Inputs</t>
  </si>
  <si>
    <t>PV = expected funds raised calculation</t>
  </si>
  <si>
    <t>Accounting - journal entry - bond issuance (t0)</t>
  </si>
  <si>
    <t>Balance</t>
  </si>
  <si>
    <t>years</t>
  </si>
  <si>
    <t>Accounting - journal entry - end of 1st cpn period  (t1)</t>
  </si>
  <si>
    <t>Bond discount</t>
  </si>
  <si>
    <t>Amort of Bond disc</t>
  </si>
  <si>
    <t>Cpn Period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</si>
</sst>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€-2]\ * #,##0.00_-;\-[$€-2]\ * #,##0.00_-;_-[$€-2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164" fontId="0" fillId="0" borderId="7" xfId="0" applyNumberFormat="1" applyBorder="1"/>
    <xf numFmtId="0" fontId="0" fillId="0" borderId="9" xfId="0" applyBorder="1"/>
    <xf numFmtId="164" fontId="0" fillId="0" borderId="10" xfId="0" applyNumberFormat="1" applyBorder="1"/>
    <xf numFmtId="0" fontId="0" fillId="0" borderId="7" xfId="0" applyBorder="1"/>
    <xf numFmtId="164" fontId="0" fillId="0" borderId="8" xfId="0" applyNumberFormat="1" applyBorder="1"/>
    <xf numFmtId="0" fontId="1" fillId="0" borderId="3" xfId="0" applyFont="1" applyBorder="1"/>
    <xf numFmtId="0" fontId="1" fillId="0" borderId="6" xfId="0" applyFont="1" applyBorder="1"/>
    <xf numFmtId="164" fontId="0" fillId="0" borderId="5" xfId="0" applyNumberFormat="1" applyBorder="1"/>
    <xf numFmtId="0" fontId="1" fillId="0" borderId="2" xfId="0" applyFont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 applyAlignment="1">
      <alignment horizontal="center"/>
    </xf>
    <xf numFmtId="164" fontId="0" fillId="3" borderId="5" xfId="0" applyNumberFormat="1" applyFill="1" applyBorder="1"/>
    <xf numFmtId="0" fontId="1" fillId="3" borderId="6" xfId="0" applyFont="1" applyFill="1" applyBorder="1" applyAlignment="1">
      <alignment horizontal="center"/>
    </xf>
    <xf numFmtId="164" fontId="0" fillId="3" borderId="7" xfId="0" applyNumberFormat="1" applyFill="1" applyBorder="1"/>
    <xf numFmtId="164" fontId="0" fillId="3" borderId="8" xfId="0" applyNumberFormat="1" applyFill="1" applyBorder="1"/>
    <xf numFmtId="0" fontId="1" fillId="0" borderId="1" xfId="0" applyFont="1" applyBorder="1"/>
    <xf numFmtId="0" fontId="1" fillId="0" borderId="4" xfId="0" applyFont="1" applyBorder="1"/>
    <xf numFmtId="164" fontId="0" fillId="3" borderId="7" xfId="0" applyNumberFormat="1" applyFill="1" applyBorder="1" applyAlignment="1">
      <alignment horizontal="center"/>
    </xf>
    <xf numFmtId="9" fontId="0" fillId="0" borderId="0" xfId="0" applyNumberFormat="1"/>
    <xf numFmtId="9" fontId="0" fillId="0" borderId="7" xfId="0" applyNumberFormat="1" applyBorder="1"/>
    <xf numFmtId="9" fontId="0" fillId="0" borderId="5" xfId="0" applyNumberFormat="1" applyBorder="1"/>
    <xf numFmtId="9" fontId="0" fillId="0" borderId="8" xfId="0" applyNumberFormat="1" applyBorder="1"/>
    <xf numFmtId="165" fontId="0" fillId="0" borderId="0" xfId="1" applyNumberFormat="1" applyFont="1" applyFill="1"/>
    <xf numFmtId="165" fontId="0" fillId="0" borderId="2" xfId="0" applyNumberFormat="1" applyBorder="1"/>
    <xf numFmtId="165" fontId="0" fillId="0" borderId="3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7" xfId="0" applyNumberFormat="1" applyFill="1" applyBorder="1"/>
    <xf numFmtId="164" fontId="0" fillId="3" borderId="0" xfId="0" applyNumberFormat="1" applyFill="1"/>
    <xf numFmtId="164" fontId="0" fillId="3" borderId="0" xfId="0" applyNumberFormat="1" applyFill="1" applyAlignment="1">
      <alignment horizont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EBD4-D464-3E4F-AFD7-30D9D554345E}">
  <dimension ref="B2:K35"/>
  <sheetViews>
    <sheetView tabSelected="1" workbookViewId="0">
      <selection activeCell="C16" sqref="C16"/>
    </sheetView>
  </sheetViews>
  <sheetFormatPr defaultColWidth="8.81640625" defaultRowHeight="14.5" x14ac:dyDescent="0.35"/>
  <cols>
    <col min="2" max="2" width="15.453125" bestFit="1" customWidth="1"/>
    <col min="3" max="3" width="16" bestFit="1" customWidth="1"/>
    <col min="4" max="4" width="21.36328125" customWidth="1"/>
    <col min="5" max="5" width="9.453125" bestFit="1" customWidth="1"/>
    <col min="6" max="11" width="21.453125" customWidth="1"/>
  </cols>
  <sheetData>
    <row r="2" spans="2:11" x14ac:dyDescent="0.35">
      <c r="B2" s="2" t="s">
        <v>23</v>
      </c>
    </row>
    <row r="3" spans="2:11" x14ac:dyDescent="0.35">
      <c r="B3" s="3"/>
      <c r="C3" s="4"/>
      <c r="D3" s="13" t="s">
        <v>21</v>
      </c>
    </row>
    <row r="4" spans="2:11" x14ac:dyDescent="0.35">
      <c r="B4" s="26" t="s">
        <v>0</v>
      </c>
      <c r="C4" s="32">
        <v>250000000</v>
      </c>
      <c r="D4" s="5" t="s">
        <v>2</v>
      </c>
    </row>
    <row r="5" spans="2:11" x14ac:dyDescent="0.35">
      <c r="B5" s="26" t="s">
        <v>1</v>
      </c>
      <c r="C5" s="28">
        <v>0.06</v>
      </c>
      <c r="D5" s="30">
        <f>$C$5/$C$6</f>
        <v>1.4999999999999999E-2</v>
      </c>
    </row>
    <row r="6" spans="2:11" x14ac:dyDescent="0.35">
      <c r="B6" s="26" t="s">
        <v>3</v>
      </c>
      <c r="C6">
        <v>4</v>
      </c>
      <c r="D6" s="5" t="s">
        <v>4</v>
      </c>
      <c r="F6" s="17" t="s">
        <v>31</v>
      </c>
      <c r="G6" s="18" t="s">
        <v>7</v>
      </c>
      <c r="H6" s="18" t="s">
        <v>18</v>
      </c>
      <c r="I6" s="18" t="s">
        <v>19</v>
      </c>
      <c r="J6" s="18" t="s">
        <v>20</v>
      </c>
      <c r="K6" s="19" t="s">
        <v>22</v>
      </c>
    </row>
    <row r="7" spans="2:11" x14ac:dyDescent="0.35">
      <c r="B7" s="26" t="s">
        <v>5</v>
      </c>
      <c r="C7">
        <v>3</v>
      </c>
      <c r="D7" s="5" t="s">
        <v>27</v>
      </c>
      <c r="F7" s="20">
        <v>0</v>
      </c>
      <c r="G7" s="40"/>
      <c r="H7" s="40"/>
      <c r="I7" s="39">
        <f>C25</f>
        <v>19527710.287842423</v>
      </c>
      <c r="J7" s="38">
        <v>0</v>
      </c>
      <c r="K7" s="21">
        <f>C18</f>
        <v>230472289.71215758</v>
      </c>
    </row>
    <row r="8" spans="2:11" x14ac:dyDescent="0.35">
      <c r="B8" s="26" t="s">
        <v>6</v>
      </c>
      <c r="C8">
        <f>$C$7*$C$6</f>
        <v>12</v>
      </c>
      <c r="D8" s="5"/>
      <c r="F8" s="20">
        <v>1</v>
      </c>
      <c r="G8" s="38">
        <f>$C$4*$D$5</f>
        <v>3750000</v>
      </c>
      <c r="H8" s="38">
        <f t="shared" ref="H8:H19" si="0">K7*$D$9</f>
        <v>5185626.518523545</v>
      </c>
      <c r="I8" s="39">
        <f t="shared" ref="I8:I19" si="1">I7-J8</f>
        <v>18092083.769318879</v>
      </c>
      <c r="J8" s="38">
        <f t="shared" ref="J8:J19" si="2">H8-G8</f>
        <v>1435626.518523545</v>
      </c>
      <c r="K8" s="21">
        <f t="shared" ref="K8:K19" si="3">J8+K7</f>
        <v>231907916.23068112</v>
      </c>
    </row>
    <row r="9" spans="2:11" x14ac:dyDescent="0.35">
      <c r="B9" s="14" t="s">
        <v>8</v>
      </c>
      <c r="C9" s="29">
        <v>0.09</v>
      </c>
      <c r="D9" s="31">
        <f>$C$9/$C$6</f>
        <v>2.2499999999999999E-2</v>
      </c>
      <c r="F9" s="20">
        <v>2</v>
      </c>
      <c r="G9" s="38">
        <f t="shared" ref="G9:G19" si="4">$C$4*$D$5</f>
        <v>3750000</v>
      </c>
      <c r="H9" s="38">
        <f t="shared" si="0"/>
        <v>5217928.1151903253</v>
      </c>
      <c r="I9" s="39">
        <f t="shared" si="1"/>
        <v>16624155.654128553</v>
      </c>
      <c r="J9" s="38">
        <f t="shared" si="2"/>
        <v>1467928.1151903253</v>
      </c>
      <c r="K9" s="21">
        <f t="shared" si="3"/>
        <v>233375844.34587145</v>
      </c>
    </row>
    <row r="10" spans="2:11" x14ac:dyDescent="0.35">
      <c r="F10" s="20">
        <v>3</v>
      </c>
      <c r="G10" s="38">
        <f t="shared" si="4"/>
        <v>3750000</v>
      </c>
      <c r="H10" s="38">
        <f t="shared" si="0"/>
        <v>5250956.4977821074</v>
      </c>
      <c r="I10" s="39">
        <f t="shared" si="1"/>
        <v>15123199.156346446</v>
      </c>
      <c r="J10" s="38">
        <f t="shared" si="2"/>
        <v>1500956.4977821074</v>
      </c>
      <c r="K10" s="21">
        <f t="shared" si="3"/>
        <v>234876800.84365356</v>
      </c>
    </row>
    <row r="11" spans="2:11" x14ac:dyDescent="0.35">
      <c r="F11" s="20">
        <v>4</v>
      </c>
      <c r="G11" s="38">
        <f t="shared" si="4"/>
        <v>3750000</v>
      </c>
      <c r="H11" s="38">
        <f t="shared" si="0"/>
        <v>5284728.0189822046</v>
      </c>
      <c r="I11" s="39">
        <f t="shared" si="1"/>
        <v>13588471.137364242</v>
      </c>
      <c r="J11" s="38">
        <f t="shared" si="2"/>
        <v>1534728.0189822046</v>
      </c>
      <c r="K11" s="21">
        <f t="shared" si="3"/>
        <v>236411528.86263576</v>
      </c>
    </row>
    <row r="12" spans="2:11" x14ac:dyDescent="0.35">
      <c r="F12" s="20">
        <v>5</v>
      </c>
      <c r="G12" s="38">
        <f t="shared" si="4"/>
        <v>3750000</v>
      </c>
      <c r="H12" s="38">
        <f t="shared" si="0"/>
        <v>5319259.3994093044</v>
      </c>
      <c r="I12" s="39">
        <f t="shared" si="1"/>
        <v>12019211.737954937</v>
      </c>
      <c r="J12" s="38">
        <f t="shared" si="2"/>
        <v>1569259.3994093044</v>
      </c>
      <c r="K12" s="21">
        <f t="shared" si="3"/>
        <v>237980788.26204506</v>
      </c>
    </row>
    <row r="13" spans="2:11" x14ac:dyDescent="0.35">
      <c r="F13" s="20">
        <v>6</v>
      </c>
      <c r="G13" s="38">
        <f t="shared" si="4"/>
        <v>3750000</v>
      </c>
      <c r="H13" s="38">
        <f t="shared" si="0"/>
        <v>5354567.7358960137</v>
      </c>
      <c r="I13" s="39">
        <f t="shared" si="1"/>
        <v>10414644.002058923</v>
      </c>
      <c r="J13" s="38">
        <f t="shared" si="2"/>
        <v>1604567.7358960137</v>
      </c>
      <c r="K13" s="21">
        <f t="shared" si="3"/>
        <v>239585355.99794108</v>
      </c>
    </row>
    <row r="14" spans="2:11" x14ac:dyDescent="0.35">
      <c r="F14" s="20">
        <v>7</v>
      </c>
      <c r="G14" s="38">
        <f t="shared" si="4"/>
        <v>3750000</v>
      </c>
      <c r="H14" s="38">
        <f t="shared" si="0"/>
        <v>5390670.5099536739</v>
      </c>
      <c r="I14" s="39">
        <f t="shared" si="1"/>
        <v>8773973.4921052493</v>
      </c>
      <c r="J14" s="38">
        <f t="shared" si="2"/>
        <v>1640670.5099536739</v>
      </c>
      <c r="K14" s="21">
        <f t="shared" si="3"/>
        <v>241226026.50789475</v>
      </c>
    </row>
    <row r="15" spans="2:11" x14ac:dyDescent="0.35">
      <c r="B15" s="2" t="s">
        <v>24</v>
      </c>
      <c r="F15" s="20">
        <v>8</v>
      </c>
      <c r="G15" s="38">
        <f t="shared" si="4"/>
        <v>3750000</v>
      </c>
      <c r="H15" s="38">
        <f t="shared" si="0"/>
        <v>5427585.5964276316</v>
      </c>
      <c r="I15" s="39">
        <f t="shared" si="1"/>
        <v>7096387.8956776178</v>
      </c>
      <c r="J15" s="38">
        <f t="shared" si="2"/>
        <v>1677585.5964276316</v>
      </c>
      <c r="K15" s="21">
        <f t="shared" si="3"/>
        <v>242903612.10432237</v>
      </c>
    </row>
    <row r="16" spans="2:11" x14ac:dyDescent="0.35">
      <c r="B16" s="3" t="s">
        <v>9</v>
      </c>
      <c r="C16" s="33">
        <f>$C$4/(1+$D$9)^$C$8</f>
        <v>191416869.13647273</v>
      </c>
      <c r="D16" s="34">
        <f>PV($D$9,$C$8,,-$C$4)</f>
        <v>191416869.13647273</v>
      </c>
      <c r="F16" s="20">
        <v>9</v>
      </c>
      <c r="G16" s="38">
        <f t="shared" si="4"/>
        <v>3750000</v>
      </c>
      <c r="H16" s="38">
        <f t="shared" si="0"/>
        <v>5465331.2723472528</v>
      </c>
      <c r="I16" s="39">
        <f t="shared" si="1"/>
        <v>5381056.6233303649</v>
      </c>
      <c r="J16" s="38">
        <f t="shared" si="2"/>
        <v>1715331.2723472528</v>
      </c>
      <c r="K16" s="21">
        <f t="shared" si="3"/>
        <v>244618943.37666962</v>
      </c>
    </row>
    <row r="17" spans="2:11" x14ac:dyDescent="0.35">
      <c r="B17" s="6" t="s">
        <v>10</v>
      </c>
      <c r="C17" s="35">
        <f>$G$8*(1-(1/(1+$D$9)^$C$8))/$D$9</f>
        <v>39055420.575684845</v>
      </c>
      <c r="D17" s="36">
        <f>PV($D$9,$C$8,-$G$8)</f>
        <v>39055420.575684845</v>
      </c>
      <c r="F17" s="20">
        <v>10</v>
      </c>
      <c r="G17" s="38">
        <f t="shared" si="4"/>
        <v>3750000</v>
      </c>
      <c r="H17" s="38">
        <f t="shared" si="0"/>
        <v>5503926.2259750664</v>
      </c>
      <c r="I17" s="39">
        <f t="shared" si="1"/>
        <v>3627130.3973552985</v>
      </c>
      <c r="J17" s="38">
        <f t="shared" si="2"/>
        <v>1753926.2259750664</v>
      </c>
      <c r="K17" s="21">
        <f t="shared" si="3"/>
        <v>246372869.60264468</v>
      </c>
    </row>
    <row r="18" spans="2:11" x14ac:dyDescent="0.35">
      <c r="B18" s="6" t="s">
        <v>11</v>
      </c>
      <c r="C18" s="37">
        <f>SUM(C16:C17)</f>
        <v>230472289.71215758</v>
      </c>
      <c r="D18" s="36"/>
      <c r="F18" s="20">
        <v>11</v>
      </c>
      <c r="G18" s="38">
        <f t="shared" si="4"/>
        <v>3750000</v>
      </c>
      <c r="H18" s="38">
        <f t="shared" si="0"/>
        <v>5543389.5660595056</v>
      </c>
      <c r="I18" s="39">
        <f t="shared" si="1"/>
        <v>1833740.8312957929</v>
      </c>
      <c r="J18" s="38">
        <f t="shared" si="2"/>
        <v>1793389.5660595056</v>
      </c>
      <c r="K18" s="21">
        <f t="shared" si="3"/>
        <v>248166259.16870418</v>
      </c>
    </row>
    <row r="19" spans="2:11" x14ac:dyDescent="0.35">
      <c r="F19" s="22">
        <v>12</v>
      </c>
      <c r="G19" s="23">
        <f t="shared" si="4"/>
        <v>3750000</v>
      </c>
      <c r="H19" s="23">
        <f t="shared" si="0"/>
        <v>5583740.8312958442</v>
      </c>
      <c r="I19" s="27">
        <f t="shared" si="1"/>
        <v>-5.1222741603851318E-8</v>
      </c>
      <c r="J19" s="23">
        <f t="shared" si="2"/>
        <v>1833740.8312958442</v>
      </c>
      <c r="K19" s="24">
        <f t="shared" si="3"/>
        <v>250000000.00000003</v>
      </c>
    </row>
    <row r="20" spans="2:11" x14ac:dyDescent="0.35">
      <c r="B20" s="9" t="s">
        <v>17</v>
      </c>
      <c r="C20" s="10">
        <f>$C$4-$C$18</f>
        <v>19527710.287842423</v>
      </c>
    </row>
    <row r="22" spans="2:11" x14ac:dyDescent="0.35">
      <c r="B22" s="2" t="s">
        <v>25</v>
      </c>
    </row>
    <row r="23" spans="2:11" x14ac:dyDescent="0.35">
      <c r="B23" s="25" t="s">
        <v>12</v>
      </c>
      <c r="C23" s="16" t="s">
        <v>13</v>
      </c>
      <c r="D23" s="13" t="s">
        <v>14</v>
      </c>
    </row>
    <row r="24" spans="2:11" x14ac:dyDescent="0.35">
      <c r="B24" s="7" t="s">
        <v>15</v>
      </c>
      <c r="C24" s="1">
        <f>$C$18</f>
        <v>230472289.71215758</v>
      </c>
      <c r="D24" s="5"/>
    </row>
    <row r="25" spans="2:11" x14ac:dyDescent="0.35">
      <c r="B25" s="7" t="s">
        <v>29</v>
      </c>
      <c r="C25" s="1">
        <f>$C$20</f>
        <v>19527710.287842423</v>
      </c>
      <c r="D25" s="5"/>
    </row>
    <row r="26" spans="2:11" x14ac:dyDescent="0.35">
      <c r="B26" s="6" t="s">
        <v>16</v>
      </c>
      <c r="C26" s="11"/>
      <c r="D26" s="12">
        <f>C4</f>
        <v>250000000</v>
      </c>
    </row>
    <row r="27" spans="2:11" x14ac:dyDescent="0.35">
      <c r="B27" t="s">
        <v>26</v>
      </c>
      <c r="C27" s="1">
        <f>SUM(C24:C26)</f>
        <v>250000000</v>
      </c>
      <c r="D27" s="1">
        <f>SUM(D24:D26)</f>
        <v>250000000</v>
      </c>
    </row>
    <row r="30" spans="2:11" x14ac:dyDescent="0.35">
      <c r="B30" s="2" t="s">
        <v>28</v>
      </c>
    </row>
    <row r="31" spans="2:11" x14ac:dyDescent="0.35">
      <c r="B31" s="25" t="s">
        <v>12</v>
      </c>
      <c r="C31" s="16" t="s">
        <v>13</v>
      </c>
      <c r="D31" s="13" t="s">
        <v>14</v>
      </c>
    </row>
    <row r="32" spans="2:11" x14ac:dyDescent="0.35">
      <c r="B32" s="7" t="s">
        <v>15</v>
      </c>
      <c r="C32" s="1"/>
      <c r="D32" s="15">
        <f>G8</f>
        <v>3750000</v>
      </c>
    </row>
    <row r="33" spans="2:4" x14ac:dyDescent="0.35">
      <c r="B33" s="7" t="s">
        <v>30</v>
      </c>
      <c r="D33" s="1">
        <f>J8</f>
        <v>1435626.518523545</v>
      </c>
    </row>
    <row r="34" spans="2:4" x14ac:dyDescent="0.35">
      <c r="B34" s="6" t="s">
        <v>18</v>
      </c>
      <c r="C34" s="8">
        <f>H8</f>
        <v>5185626.518523545</v>
      </c>
      <c r="D34" s="12">
        <f>C12</f>
        <v>0</v>
      </c>
    </row>
    <row r="35" spans="2:4" x14ac:dyDescent="0.35">
      <c r="B35" t="s">
        <v>26</v>
      </c>
      <c r="C35" s="1">
        <f>SUM(C32:C34)</f>
        <v>5185626.518523545</v>
      </c>
      <c r="D35" s="1">
        <f>SUM(D32:D34)</f>
        <v>5185626.518523545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Ranostaj</dc:creator>
  <cp:lastModifiedBy>Jan Hrušák</cp:lastModifiedBy>
  <dcterms:created xsi:type="dcterms:W3CDTF">2021-11-02T12:25:55Z</dcterms:created>
  <dcterms:modified xsi:type="dcterms:W3CDTF">2024-05-21T10:53:01Z</dcterms:modified>
</cp:coreProperties>
</file>